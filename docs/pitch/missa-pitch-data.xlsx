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numbers" sheetId="1" state="visible" r:id="rId1"/>
    <sheet xmlns:r="http://schemas.openxmlformats.org/officeDocument/2006/relationships" name="Calls by type" sheetId="2" state="visible" r:id="rId2"/>
    <sheet xmlns:r="http://schemas.openxmlformats.org/officeDocument/2006/relationships" name="Coverage gaps" sheetId="3" state="visible" r:id="rId3"/>
    <sheet xmlns:r="http://schemas.openxmlformats.org/officeDocument/2006/relationships" name="Market size" sheetId="4" state="visible" r:id="rId4"/>
    <sheet xmlns:r="http://schemas.openxmlformats.org/officeDocument/2006/relationships" name="Competitors" sheetId="5" state="visible" r:id="rId5"/>
    <sheet xmlns:r="http://schemas.openxmlformats.org/officeDocument/2006/relationships" name="Audience modules" sheetId="6" state="visible" r:id="rId6"/>
    <sheet xmlns:r="http://schemas.openxmlformats.org/officeDocument/2006/relationships" name="Data g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2" customWidth="1" min="3" max="3"/>
    <col width="39" customWidth="1" min="4" max="4"/>
    <col width="12" customWidth="1" min="5" max="5"/>
  </cols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As of</t>
        </is>
      </c>
    </row>
    <row r="2">
      <c r="A2" t="inlineStr">
        <is>
          <t>Published calls</t>
        </is>
      </c>
      <c r="B2" t="n">
        <v>6011</v>
      </c>
      <c r="C2" t="inlineStr">
        <is>
          <t>Verified</t>
        </is>
      </c>
      <c r="D2" t="inlineStr">
        <is>
          <t>opportunities</t>
        </is>
      </c>
      <c r="E2" t="inlineStr">
        <is>
          <t>2026-10-09</t>
        </is>
      </c>
    </row>
    <row r="3">
      <c r="A3" t="inlineStr">
        <is>
          <t>Calls open or opening soon</t>
        </is>
      </c>
      <c r="B3" t="n">
        <v>3786</v>
      </c>
      <c r="C3" t="inlineStr">
        <is>
          <t>Verified</t>
        </is>
      </c>
      <c r="D3" t="inlineStr">
        <is>
          <t>Deadline not passed</t>
        </is>
      </c>
      <c r="E3" t="inlineStr">
        <is>
          <t>2026-10-09</t>
        </is>
      </c>
    </row>
    <row r="4">
      <c r="A4" t="inlineStr">
        <is>
          <t>Organizations with a published call</t>
        </is>
      </c>
      <c r="B4" t="n">
        <v>2526</v>
      </c>
      <c r="C4" t="inlineStr">
        <is>
          <t>Verified</t>
        </is>
      </c>
      <c r="D4" t="inlineStr">
        <is>
          <t>opportunities</t>
        </is>
      </c>
      <c r="E4" t="inlineStr">
        <is>
          <t>2026-10-09</t>
        </is>
      </c>
    </row>
    <row r="5">
      <c r="A5" t="inlineStr">
        <is>
          <t>Organizations tracked in total</t>
        </is>
      </c>
      <c r="B5" t="n">
        <v>10492</v>
      </c>
      <c r="C5" t="inlineStr">
        <is>
          <t>Verified</t>
        </is>
      </c>
      <c r="D5" t="inlineStr">
        <is>
          <t>radar_organizations</t>
        </is>
      </c>
      <c r="E5" t="inlineStr">
        <is>
          <t>2026-10-09</t>
        </is>
      </c>
    </row>
    <row r="6">
      <c r="A6" t="inlineStr">
        <is>
          <t>Active sources monitored</t>
        </is>
      </c>
      <c r="B6" t="n">
        <v>4231</v>
      </c>
      <c r="C6" t="inlineStr">
        <is>
          <t>Verified</t>
        </is>
      </c>
      <c r="D6" t="inlineStr">
        <is>
          <t>radar_sources (14,277 total)</t>
        </is>
      </c>
      <c r="E6" t="inlineStr">
        <is>
          <t>2026-10-09</t>
        </is>
      </c>
    </row>
    <row r="7">
      <c r="A7" t="inlineStr">
        <is>
          <t>Source pages stored as evidence</t>
        </is>
      </c>
      <c r="B7" t="n">
        <v>605720</v>
      </c>
      <c r="C7" t="inlineStr">
        <is>
          <t>Verified</t>
        </is>
      </c>
      <c r="D7" t="inlineStr">
        <is>
          <t>gary_source_pages</t>
        </is>
      </c>
      <c r="E7" t="inlineStr">
        <is>
          <t>2026-10-09</t>
        </is>
      </c>
    </row>
    <row r="8">
      <c r="A8" t="inlineStr">
        <is>
          <t>Publication profiles</t>
        </is>
      </c>
      <c r="B8" t="n">
        <v>11384</v>
      </c>
      <c r="C8" t="inlineStr">
        <is>
          <t>Verified</t>
        </is>
      </c>
      <c r="D8" t="inlineStr">
        <is>
          <t>gary_profiles</t>
        </is>
      </c>
      <c r="E8" t="inlineStr">
        <is>
          <t>2026-10-09</t>
        </is>
      </c>
    </row>
    <row r="9">
      <c r="A9" t="inlineStr">
        <is>
          <t>Magazines in the ranking index</t>
        </is>
      </c>
      <c r="B9" t="n">
        <v>634</v>
      </c>
      <c r="C9" t="inlineStr">
        <is>
          <t>Verified</t>
        </is>
      </c>
      <c r="D9" t="inlineStr">
        <is>
          <t>missa_magazine_rankings</t>
        </is>
      </c>
      <c r="E9" t="inlineStr">
        <is>
          <t>2026-10-09</t>
        </is>
      </c>
    </row>
    <row r="10">
      <c r="A10" t="inlineStr">
        <is>
          <t>Calls added in the last 30 days</t>
        </is>
      </c>
      <c r="B10" t="n">
        <v>1174</v>
      </c>
      <c r="C10" t="inlineStr">
        <is>
          <t>Verified</t>
        </is>
      </c>
      <c r="D10" t="inlineStr">
        <is>
          <t>opportunities.created_at</t>
        </is>
      </c>
      <c r="E10" t="inlineStr">
        <is>
          <t>2026-10-09</t>
        </is>
      </c>
    </row>
    <row r="11">
      <c r="A11" t="inlineStr">
        <is>
          <t>Calls rechecked in the last 30 days</t>
        </is>
      </c>
      <c r="B11" t="n">
        <v>1017</v>
      </c>
      <c r="C11" t="inlineStr">
        <is>
          <t>Verified</t>
        </is>
      </c>
      <c r="D11" t="inlineStr">
        <is>
          <t>opportunities.source_checked_at (17%)</t>
        </is>
      </c>
      <c r="E11" t="inlineStr">
        <is>
          <t>2026-10-09</t>
        </is>
      </c>
    </row>
    <row r="12">
      <c r="A12" t="inlineStr">
        <is>
          <t>Calls with no entry fee</t>
        </is>
      </c>
      <c r="B12" t="n">
        <v>1797</v>
      </c>
      <c r="C12" t="inlineStr">
        <is>
          <t>Verified</t>
        </is>
      </c>
      <c r="D12" t="inlineStr">
        <is>
          <t>fee_status = no-fee</t>
        </is>
      </c>
      <c r="E12" t="inlineStr">
        <is>
          <t>2026-10-09</t>
        </is>
      </c>
    </row>
    <row r="13">
      <c r="A13" t="inlineStr">
        <is>
          <t>Median entry fee where charged (USD)</t>
        </is>
      </c>
      <c r="B13" t="n">
        <v>15</v>
      </c>
      <c r="C13" t="inlineStr">
        <is>
          <t>Verified</t>
        </is>
      </c>
      <c r="D13" t="inlineStr">
        <is>
          <t>1,421 USD-priced calls</t>
        </is>
      </c>
      <c r="E13" t="inlineStr">
        <is>
          <t>2026-10-09</t>
        </is>
      </c>
    </row>
    <row r="14">
      <c r="A14" t="inlineStr">
        <is>
          <t>Real sign-ups</t>
        </is>
      </c>
      <c r="B14" t="n">
        <v>24</v>
      </c>
      <c r="C14" t="inlineStr">
        <is>
          <t>Verified</t>
        </is>
      </c>
      <c r="D14" t="inlineStr">
        <is>
          <t>Excludes test domains</t>
        </is>
      </c>
      <c r="E14" t="inlineStr">
        <is>
          <t>2026-10-09</t>
        </is>
      </c>
    </row>
    <row r="15">
      <c r="A15" t="inlineStr">
        <is>
          <t>Calls saved by real users</t>
        </is>
      </c>
      <c r="B15" t="n">
        <v>10</v>
      </c>
      <c r="C15" t="inlineStr">
        <is>
          <t>Verified</t>
        </is>
      </c>
      <c r="D15" t="inlineStr">
        <is>
          <t>tracked_opportunities</t>
        </is>
      </c>
      <c r="E15" t="inlineStr">
        <is>
          <t>2026-10-09</t>
        </is>
      </c>
    </row>
    <row r="16">
      <c r="A16" t="inlineStr">
        <is>
          <t>Submissions recorded by real users</t>
        </is>
      </c>
      <c r="B16" t="n">
        <v>1</v>
      </c>
      <c r="C16" t="inlineStr">
        <is>
          <t>Verified</t>
        </is>
      </c>
      <c r="D16" t="inlineStr">
        <is>
          <t>tracked_opportunities</t>
        </is>
      </c>
      <c r="E16" t="inlineStr">
        <is>
          <t>2026-10-09</t>
        </is>
      </c>
    </row>
    <row r="17">
      <c r="A17" t="inlineStr">
        <is>
          <t>Site visitors, 3-9 Oct 2026</t>
        </is>
      </c>
      <c r="B17" t="n">
        <v>220</v>
      </c>
      <c r="C17" t="inlineStr">
        <is>
          <t>Verified</t>
        </is>
      </c>
      <c r="D17" t="inlineStr">
        <is>
          <t>site_events</t>
        </is>
      </c>
      <c r="E17" t="inlineStr">
        <is>
          <t>2026-10-09</t>
        </is>
      </c>
    </row>
    <row r="18">
      <c r="A18" t="inlineStr">
        <is>
          <t>Revenue (USD)</t>
        </is>
      </c>
      <c r="B18" t="n">
        <v>0</v>
      </c>
      <c r="C18" t="inlineStr">
        <is>
          <t>Verified</t>
        </is>
      </c>
      <c r="D18" t="inlineStr">
        <is>
          <t>Stripe ledger: one test subscription</t>
        </is>
      </c>
      <c r="E18" t="inlineStr">
        <is>
          <t>2026-10-09</t>
        </is>
      </c>
    </row>
    <row r="19">
      <c r="A19" t="inlineStr">
        <is>
          <t>Plus price</t>
        </is>
      </c>
      <c r="B19" t="inlineStr">
        <is>
          <t>$6 a month or $60 a year</t>
        </is>
      </c>
      <c r="C19" t="inlineStr">
        <is>
          <t>Verified</t>
        </is>
      </c>
      <c r="D19" t="inlineStr">
        <is>
          <t>apps/web/lib/creatorBilling.ts</t>
        </is>
      </c>
      <c r="E19" t="inlineStr">
        <is>
          <t>2026-10-09</t>
        </is>
      </c>
    </row>
    <row r="20">
      <c r="A20" t="inlineStr">
        <is>
          <t>Creator SAM</t>
        </is>
      </c>
      <c r="B20" t="inlineStr">
        <is>
          <t>$30-60M a year</t>
        </is>
      </c>
      <c r="C20" t="inlineStr">
        <is>
          <t>Estimate</t>
        </is>
      </c>
      <c r="D20" t="inlineStr">
        <is>
          <t>Market size tab</t>
        </is>
      </c>
      <c r="E20" t="inlineStr">
        <is>
          <t>2026-10-09</t>
        </is>
      </c>
    </row>
    <row r="21">
      <c r="A21" t="inlineStr">
        <is>
          <t>Submittable 2024 revenue</t>
        </is>
      </c>
      <c r="B21" t="inlineStr">
        <is>
          <t>About $66.6M</t>
        </is>
      </c>
      <c r="C21" t="inlineStr">
        <is>
          <t>Estimate</t>
        </is>
      </c>
      <c r="D21" t="inlineStr">
        <is>
          <t>Latka (third-party)</t>
        </is>
      </c>
      <c r="E21" t="inlineStr">
        <is>
          <t>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</cols>
  <sheetData>
    <row r="1">
      <c r="A1" s="1" t="inlineStr">
        <is>
          <t>Type</t>
        </is>
      </c>
      <c r="B1" s="1" t="inlineStr">
        <is>
          <t>Calls</t>
        </is>
      </c>
    </row>
    <row r="2">
      <c r="A2" t="inlineStr">
        <is>
          <t>Magazines</t>
        </is>
      </c>
      <c r="B2" t="n">
        <v>2559</v>
      </c>
    </row>
    <row r="3">
      <c r="A3" t="inlineStr">
        <is>
          <t>Residencies</t>
        </is>
      </c>
      <c r="B3" t="n">
        <v>1227</v>
      </c>
    </row>
    <row r="4">
      <c r="A4" t="inlineStr">
        <is>
          <t>Contests</t>
        </is>
      </c>
      <c r="B4" t="n">
        <v>739</v>
      </c>
    </row>
    <row r="5">
      <c r="A5" t="inlineStr">
        <is>
          <t>Grants</t>
        </is>
      </c>
      <c r="B5" t="n">
        <v>304</v>
      </c>
    </row>
    <row r="6">
      <c r="A6" t="inlineStr">
        <is>
          <t>Open calls</t>
        </is>
      </c>
      <c r="B6" t="n">
        <v>297</v>
      </c>
    </row>
    <row r="7">
      <c r="A7" t="inlineStr">
        <is>
          <t>Fellowships</t>
        </is>
      </c>
      <c r="B7" t="n">
        <v>286</v>
      </c>
    </row>
    <row r="8">
      <c r="A8" t="inlineStr">
        <is>
          <t>Awards</t>
        </is>
      </c>
      <c r="B8" t="n">
        <v>206</v>
      </c>
    </row>
    <row r="9">
      <c r="A9" t="inlineStr">
        <is>
          <t>Other (jobs, conferences, scholarships, commissions)</t>
        </is>
      </c>
      <c r="B9" t="n">
        <v>146</v>
      </c>
    </row>
    <row r="10">
      <c r="A10" t="inlineStr">
        <is>
          <t>Exhibitions</t>
        </is>
      </c>
      <c r="B10" t="n">
        <v>132</v>
      </c>
    </row>
    <row r="11">
      <c r="A11" t="inlineStr">
        <is>
          <t>Festivals</t>
        </is>
      </c>
      <c r="B11" t="n">
        <v>115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Calls affected</t>
        </is>
      </c>
      <c r="C1" s="1" t="inlineStr">
        <is>
          <t>Share of 6,011</t>
        </is>
      </c>
      <c r="D1" s="1" t="inlineStr">
        <is>
          <t>Note</t>
        </is>
      </c>
    </row>
    <row r="2">
      <c r="A2" t="inlineStr">
        <is>
          <t>Country missing</t>
        </is>
      </c>
      <c r="B2" t="n">
        <v>4619</v>
      </c>
      <c r="C2" s="2">
        <f>B2/6011</f>
        <v/>
      </c>
      <c r="D2" t="inlineStr">
        <is>
          <t>847 more are marked global</t>
        </is>
      </c>
    </row>
    <row r="3">
      <c r="A3" t="inlineStr">
        <is>
          <t>Fee unknown</t>
        </is>
      </c>
      <c r="B3" t="n">
        <v>2722</v>
      </c>
      <c r="C3" s="2">
        <f>B3/6011</f>
        <v/>
      </c>
      <c r="D3" t="inlineStr"/>
    </row>
    <row r="4">
      <c r="A4" t="inlineStr">
        <is>
          <t>Not rechecked in 30 days</t>
        </is>
      </c>
      <c r="B4" t="n">
        <v>4994</v>
      </c>
      <c r="C4" s="2">
        <f>B4/6011</f>
        <v/>
      </c>
      <c r="D4" t="inlineStr">
        <is>
          <t>1,017 rechecked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22" customWidth="1" min="4" max="4"/>
    <col width="19" customWidth="1" min="5" max="5"/>
    <col width="20" customWidth="1" min="6" max="6"/>
    <col width="70" customWidth="1" min="7" max="7"/>
  </cols>
  <sheetData>
    <row r="1">
      <c r="A1" s="1" t="inlineStr">
        <is>
          <t>Layer</t>
        </is>
      </c>
      <c r="B1" s="1" t="inlineStr">
        <is>
          <t>People (low)</t>
        </is>
      </c>
      <c r="C1" s="1" t="inlineStr">
        <is>
          <t>People (high)</t>
        </is>
      </c>
      <c r="D1" s="1" t="inlineStr">
        <is>
          <t>Price per year (USD)</t>
        </is>
      </c>
      <c r="E1" s="1" t="inlineStr">
        <is>
          <t>Revenue low (USD)</t>
        </is>
      </c>
      <c r="F1" s="1" t="inlineStr">
        <is>
          <t>Revenue high (USD)</t>
        </is>
      </c>
      <c r="G1" s="1" t="inlineStr">
        <is>
          <t>Assumption</t>
        </is>
      </c>
    </row>
    <row r="2">
      <c r="A2" t="inlineStr">
        <is>
          <t>Creator TAM</t>
        </is>
      </c>
      <c r="B2" s="3" t="n">
        <v>5000000</v>
      </c>
      <c r="C2" s="3" t="n">
        <v>10000000</v>
      </c>
      <c r="D2" t="n">
        <v>60</v>
      </c>
      <c r="E2" s="3">
        <f>B2*D2</f>
        <v/>
      </c>
      <c r="F2" s="3">
        <f>C2*D2</f>
        <v/>
      </c>
      <c r="G2" t="inlineStr">
        <is>
          <t>2.9M US artists (NEA 2024) widened to English-speaking artists and serious amateurs</t>
        </is>
      </c>
    </row>
    <row r="3">
      <c r="A3" t="inlineStr">
        <is>
          <t>Creator SAM</t>
        </is>
      </c>
      <c r="B3" s="3" t="n">
        <v>500000</v>
      </c>
      <c r="C3" s="3" t="n">
        <v>1000000</v>
      </c>
      <c r="D3" t="n">
        <v>60</v>
      </c>
      <c r="E3" s="3">
        <f>B3*D3</f>
        <v/>
      </c>
      <c r="F3" s="3">
        <f>C3*D3</f>
        <v/>
      </c>
      <c r="G3" t="inlineStr">
        <is>
          <t>People who send work out regularly</t>
        </is>
      </c>
    </row>
    <row r="4">
      <c r="A4" t="inlineStr">
        <is>
          <t>Creator SOM (2-3 years)</t>
        </is>
      </c>
      <c r="B4" s="3" t="n">
        <v>10000</v>
      </c>
      <c r="C4" s="3" t="n">
        <v>20000</v>
      </c>
      <c r="D4" t="n">
        <v>60</v>
      </c>
      <c r="E4" s="3">
        <f>B4*D4</f>
        <v/>
      </c>
      <c r="F4" s="3">
        <f>C4*D4</f>
        <v/>
      </c>
      <c r="G4" t="inlineStr">
        <is>
          <t>Paying Plus members</t>
        </is>
      </c>
    </row>
    <row r="5">
      <c r="A5" t="inlineStr">
        <is>
          <t>Organization market</t>
        </is>
      </c>
      <c r="B5" t="inlineStr"/>
      <c r="C5" t="inlineStr"/>
      <c r="D5" t="inlineStr"/>
      <c r="E5" t="inlineStr"/>
      <c r="F5" t="inlineStr"/>
      <c r="G5" t="inlineStr">
        <is>
          <t>Submittable about $66.6M/yr plus peers; a few hundred million dollars (inference)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6" customWidth="1" min="3" max="3"/>
    <col width="67" customWidth="1" min="4" max="4"/>
    <col width="70" customWidth="1" min="5" max="5"/>
  </cols>
  <sheetData>
    <row r="1">
      <c r="A1" s="1" t="inlineStr">
        <is>
          <t>Company</t>
        </is>
      </c>
      <c r="B1" s="1" t="inlineStr">
        <is>
          <t>Who pays</t>
        </is>
      </c>
      <c r="C1" s="1" t="inlineStr">
        <is>
          <t>Price</t>
        </is>
      </c>
      <c r="D1" s="1" t="inlineStr">
        <is>
          <t>Scale</t>
        </is>
      </c>
      <c r="E1" s="1" t="inlineStr">
        <is>
          <t>Source</t>
        </is>
      </c>
    </row>
    <row r="2">
      <c r="A2" t="inlineStr">
        <is>
          <t>Submittable</t>
        </is>
      </c>
      <c r="B2" t="inlineStr">
        <is>
          <t>Organizations</t>
        </is>
      </c>
      <c r="C2" t="inlineStr">
        <is>
          <t>Enterprise</t>
        </is>
      </c>
      <c r="D2" t="inlineStr">
        <is>
          <t>About $66.6M revenue 2024; 28,931 programs, 1.18M applicants 2025</t>
        </is>
      </c>
      <c r="E2" t="inlineStr">
        <is>
          <t>https://www.submittable.com/blog/contentful-blog-2025-our-year-in-review</t>
        </is>
      </c>
    </row>
    <row r="3">
      <c r="A3" t="inlineStr">
        <is>
          <t>Chill Subs</t>
        </is>
      </c>
      <c r="B3" t="inlineStr">
        <is>
          <t>Writers</t>
        </is>
      </c>
      <c r="C3" t="inlineStr">
        <is>
          <t>Free; Better $10/mo; bundle $20/mo</t>
        </is>
      </c>
      <c r="D3" t="inlineStr">
        <is>
          <t>80,000 users (Mar 2026)</t>
        </is>
      </c>
      <c r="E3" t="inlineStr">
        <is>
          <t>https://www.chillsubs.com/blog/march-2026-roundup</t>
        </is>
      </c>
    </row>
    <row r="4">
      <c r="A4" t="inlineStr">
        <is>
          <t>Duotrope</t>
        </is>
      </c>
      <c r="B4" t="inlineStr">
        <is>
          <t>Writers</t>
        </is>
      </c>
      <c r="C4" t="inlineStr">
        <is>
          <t>$6/mo or $60/yr</t>
        </is>
      </c>
      <c r="D4" t="inlineStr">
        <is>
          <t>7,211 publishers and agents listed</t>
        </is>
      </c>
      <c r="E4" t="inlineStr">
        <is>
          <t>https://duotrope.com/about/faq.aspx</t>
        </is>
      </c>
    </row>
    <row r="5">
      <c r="A5" t="inlineStr">
        <is>
          <t>Submission Grinder</t>
        </is>
      </c>
      <c r="B5" t="inlineStr">
        <is>
          <t>Donations</t>
        </is>
      </c>
      <c r="C5" t="inlineStr">
        <is>
          <t>Free</t>
        </is>
      </c>
      <c r="D5" t="inlineStr">
        <is>
          <t>2,033 users in year one (2013)</t>
        </is>
      </c>
      <c r="E5" t="inlineStr">
        <is>
          <t>https://www.diabolicalplots.com/?p=4021</t>
        </is>
      </c>
    </row>
    <row r="6">
      <c r="A6" t="inlineStr">
        <is>
          <t>FilmFreeway</t>
        </is>
      </c>
      <c r="B6" t="inlineStr">
        <is>
          <t>Festivals</t>
        </is>
      </c>
      <c r="C6" t="inlineStr">
        <is>
          <t>Fees per submission</t>
        </is>
      </c>
      <c r="D6" t="inlineStr">
        <is>
          <t>400,000+ filmmakers (undated)</t>
        </is>
      </c>
      <c r="E6" t="inlineStr">
        <is>
          <t>https://www.moviemaker.com/filmfreeway/</t>
        </is>
      </c>
    </row>
    <row r="7">
      <c r="A7" t="inlineStr">
        <is>
          <t>SurveyMonkey Apply / OpenWater / Submit.com</t>
        </is>
      </c>
      <c r="B7" t="inlineStr">
        <is>
          <t>Organizations</t>
        </is>
      </c>
      <c r="C7" t="inlineStr">
        <is>
          <t>Enterprise</t>
        </is>
      </c>
      <c r="D7" t="inlineStr">
        <is>
          <t>Not public</t>
        </is>
      </c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70" customWidth="1" min="3" max="3"/>
    <col width="41" customWidth="1" min="4" max="4"/>
  </cols>
  <sheetData>
    <row r="1">
      <c r="A1" s="1" t="inlineStr">
        <is>
          <t>Audience</t>
        </is>
      </c>
      <c r="B1" s="1" t="inlineStr">
        <is>
          <t>Open with</t>
        </is>
      </c>
      <c r="C1" s="1" t="inlineStr">
        <is>
          <t>Numbers to use</t>
        </is>
      </c>
      <c r="D1" s="1" t="inlineStr">
        <is>
          <t>Leave out</t>
        </is>
      </c>
    </row>
    <row r="2">
      <c r="A2" t="inlineStr">
        <is>
          <t>Investors</t>
        </is>
      </c>
      <c r="B2" t="inlineStr">
        <is>
          <t>6,011 calls from 2,526 organizations, each linked to the organizer's page</t>
        </is>
      </c>
      <c r="C2" t="inlineStr">
        <is>
          <t>Calls, 1,174 added in 30 days, 605,720 source pages, SAM $30-60M, Submittable $66.6M</t>
        </is>
      </c>
      <c r="D2" t="inlineStr">
        <is>
          <t>User and revenue counts until they grow</t>
        </is>
      </c>
    </row>
    <row r="3">
      <c r="A3" t="inlineStr">
        <is>
          <t>Accelerators and grants</t>
        </is>
      </c>
      <c r="B3" t="inlineStr">
        <is>
          <t>Missa does the second job of being an artist</t>
        </is>
      </c>
      <c r="C3" t="inlineStr">
        <is>
          <t>1,797 no-fee calls, $15 median fee, 3,786 open calls, 42 countries</t>
        </is>
      </c>
      <c r="D3" t="inlineStr">
        <is>
          <t>Organization market</t>
        </is>
      </c>
    </row>
    <row r="4">
      <c r="A4" t="inlineStr">
        <is>
          <t>Organizations</t>
        </is>
      </c>
      <c r="B4" t="inlineStr">
        <is>
          <t>Your call is already on Missa</t>
        </is>
      </c>
      <c r="C4" t="inlineStr">
        <is>
          <t>2,526 organizations, 634 ranked magazines, per-listing views (gap)</t>
        </is>
      </c>
      <c r="D4" t="inlineStr">
        <is>
          <t>Total users while small</t>
        </is>
      </c>
    </row>
    <row r="5">
      <c r="A5" t="inlineStr">
        <is>
          <t>Partners and press</t>
        </is>
      </c>
      <c r="B5" t="inlineStr">
        <is>
          <t>One striking catalogue finding</t>
        </is>
      </c>
      <c r="C5" t="inlineStr">
        <is>
          <t>6,011 calls, 2,559 magazines, 1,227 residencies, 1,797 no-fee</t>
        </is>
      </c>
      <c r="D5" t="inlineStr">
        <is>
          <t>Market size, competitors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1" t="inlineStr">
        <is>
          <t>Gap</t>
        </is>
      </c>
      <c r="B1" s="1" t="inlineStr">
        <is>
          <t>Owner</t>
        </is>
      </c>
      <c r="C1" s="1" t="inlineStr">
        <is>
          <t>Status</t>
        </is>
      </c>
    </row>
    <row r="2">
      <c r="A2" t="inlineStr">
        <is>
          <t>Remove or exclude 341 seeded test accounts</t>
        </is>
      </c>
      <c r="B2" t="inlineStr"/>
      <c r="C2" t="inlineStr"/>
    </row>
    <row r="3">
      <c r="A3" t="inlineStr">
        <is>
          <t>Weekly sign-ups and active users chart</t>
        </is>
      </c>
      <c r="B3" t="inlineStr"/>
      <c r="C3" t="inlineStr"/>
    </row>
    <row r="4">
      <c r="A4" t="inlineStr">
        <is>
          <t>First paying Plus members</t>
        </is>
      </c>
      <c r="B4" t="inlineStr"/>
      <c r="C4" t="inlineStr"/>
    </row>
    <row r="5">
      <c r="A5" t="inlineStr">
        <is>
          <t>Raise 30-day recheck share above 17%</t>
        </is>
      </c>
      <c r="B5" t="inlineStr"/>
      <c r="C5" t="inlineStr"/>
    </row>
    <row r="6">
      <c r="A6" t="inlineStr">
        <is>
          <t>Fill fee and country fields</t>
        </is>
      </c>
      <c r="B6" t="inlineStr"/>
      <c r="C6" t="inlineStr"/>
    </row>
    <row r="7">
      <c r="A7" t="inlineStr">
        <is>
          <t>Views and saves per organization listing</t>
        </is>
      </c>
      <c r="B7" t="inlineStr"/>
      <c r="C7" t="inlineStr"/>
    </row>
    <row r="8">
      <c r="A8" t="inlineStr">
        <is>
          <t>Artist and editor quotes</t>
        </is>
      </c>
      <c r="B8" t="inlineStr"/>
      <c r="C8" t="inlineStr"/>
    </row>
    <row r="9">
      <c r="A9" t="inlineStr">
        <is>
          <t>Press-worthy catalogue finding</t>
        </is>
      </c>
      <c r="B9" t="inlineStr"/>
      <c r="C9" t="inlineStr"/>
    </row>
    <row r="10">
      <c r="A10" t="inlineStr">
        <is>
          <t>Organization pricing and Pro checkout</t>
        </is>
      </c>
      <c r="B10" t="inlineStr"/>
      <c r="C10" t="inlineStr"/>
    </row>
    <row r="11">
      <c r="A11" t="inlineStr">
        <is>
          <t>Founder story, team and the ask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2026-10-09T15:59:14Z</dcterms:created>
  <dcterms:modified xmlns:dcterms="http://purl.org/dc/terms/" xmlns:xsi="http://www.w3.org/2001/XMLSchema-instance" xsi:type="dcterms:W3CDTF">2026-10-09T15:59:14Z</dcterms:modified>
</cp:coreProperties>
</file>